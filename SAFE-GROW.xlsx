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G" sheetId="1" r:id="rId5"/>
    <sheet state="visible" name="SG2" sheetId="2" r:id="rId6"/>
    <sheet state="visible" name="SG3" sheetId="3" r:id="rId7"/>
  </sheets>
  <definedNames/>
  <calcPr/>
</workbook>
</file>

<file path=xl/sharedStrings.xml><?xml version="1.0" encoding="utf-8"?>
<sst xmlns="http://schemas.openxmlformats.org/spreadsheetml/2006/main" count="38" uniqueCount="13">
  <si>
    <t>NETWORTH</t>
  </si>
  <si>
    <t>Date</t>
  </si>
  <si>
    <t xml:space="preserve">Cycle </t>
  </si>
  <si>
    <t>Bankroll</t>
  </si>
  <si>
    <t>Stake</t>
  </si>
  <si>
    <t>Odds</t>
  </si>
  <si>
    <t>Result (W/L)</t>
  </si>
  <si>
    <t>Return</t>
  </si>
  <si>
    <t>Profit/Loss</t>
  </si>
  <si>
    <t xml:space="preserve">Withdraw </t>
  </si>
  <si>
    <t>Reinvest</t>
  </si>
  <si>
    <t>R-Bankroll</t>
  </si>
  <si>
    <t>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</si>
</sst>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0" fillId="0" fontId="1" numFmtId="14" xfId="0" applyAlignment="1" applyFont="1" applyNumberFormat="1">
      <alignment readingOrder="0" vertical="center"/>
    </xf>
    <xf borderId="0" fillId="0" fontId="1" numFmtId="14" xfId="0" applyAlignment="1" applyFont="1" applyNumberFormat="1">
      <alignment vertical="center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2">
        <f t="array" ref="C1">IFERROR(INDEX(K5:K1001, MATCH(9.99E+307, K5:K1001)) + SUM(I5:I1001), SUM(C5, I5:I1001))
</f>
        <v>623</v>
      </c>
      <c r="E1" s="3"/>
      <c r="F1" s="3"/>
      <c r="G1" s="3"/>
      <c r="H1" s="3"/>
      <c r="I1" s="3"/>
      <c r="J1" s="3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E2" s="3"/>
      <c r="F2" s="3"/>
      <c r="G2" s="3"/>
      <c r="H2" s="3"/>
      <c r="I2" s="3"/>
      <c r="J2" s="3"/>
      <c r="K2" s="3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>
        <f>DATE(2026, 5, 4)</f>
        <v>46146</v>
      </c>
      <c r="B5" s="4">
        <f t="array" ref="B5:B34">SEQUENCE(30,1,1,1)</f>
        <v>1</v>
      </c>
      <c r="C5" s="3">
        <v>500.0</v>
      </c>
      <c r="D5" s="4">
        <f t="shared" ref="D5:D34" si="1">IF(OR(C5="", C5=0), "", ROUND(C5 * 0.2, 2))</f>
        <v>100</v>
      </c>
      <c r="E5" s="3">
        <v>2.23</v>
      </c>
      <c r="F5" s="3" t="s">
        <v>12</v>
      </c>
      <c r="G5" s="4">
        <f t="shared" ref="G5:G34" si="2">IF(F5="", "", ROUND(IF(F5="W", D5*E5, 0), 2))</f>
        <v>223</v>
      </c>
      <c r="H5" s="4">
        <f t="shared" ref="H5:H34" si="3">IF(F5="", "", ROUND(IF(F5="W", G5-D5, -D5), 2))</f>
        <v>123</v>
      </c>
      <c r="I5" s="4">
        <f t="shared" ref="I5:I34" si="4">IF(VALUE(N(H5)) &lt;= 0, "", ROUND(H5 * 0.25, 2))
</f>
        <v>30.75</v>
      </c>
      <c r="J5" s="4">
        <f t="shared" ref="J5:J34" si="5">IF(H5="", "", ROUND(IF(H5&gt;0, H5*0.75, H5), 2))</f>
        <v>92.25</v>
      </c>
      <c r="K5" s="4">
        <f t="shared" ref="K5:K34" si="6">IF(H5="", "", ROUND(C5 + J5, 2))</f>
        <v>592.25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>
        <f t="shared" ref="A6:A34" si="7">A5+1</f>
        <v>46147</v>
      </c>
      <c r="B6" s="4">
        <v>2.0</v>
      </c>
      <c r="C6" s="4">
        <f t="shared" ref="C6:C34" si="8">K5</f>
        <v>592.25</v>
      </c>
      <c r="D6" s="4">
        <f t="shared" si="1"/>
        <v>118.45</v>
      </c>
      <c r="E6" s="3"/>
      <c r="F6" s="3"/>
      <c r="G6" s="4" t="str">
        <f t="shared" si="2"/>
        <v/>
      </c>
      <c r="H6" s="4" t="str">
        <f t="shared" si="3"/>
        <v/>
      </c>
      <c r="I6" s="4" t="str">
        <f t="shared" si="4"/>
        <v/>
      </c>
      <c r="J6" s="4" t="str">
        <f t="shared" si="5"/>
        <v/>
      </c>
      <c r="K6" s="4" t="str">
        <f t="shared" si="6"/>
        <v/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6">
        <f t="shared" si="7"/>
        <v>46148</v>
      </c>
      <c r="B7" s="4">
        <v>3.0</v>
      </c>
      <c r="C7" s="4" t="str">
        <f t="shared" si="8"/>
        <v/>
      </c>
      <c r="D7" s="4" t="str">
        <f t="shared" si="1"/>
        <v/>
      </c>
      <c r="E7" s="3"/>
      <c r="F7" s="3"/>
      <c r="G7" s="4" t="str">
        <f t="shared" si="2"/>
        <v/>
      </c>
      <c r="H7" s="4" t="str">
        <f t="shared" si="3"/>
        <v/>
      </c>
      <c r="I7" s="4" t="str">
        <f t="shared" si="4"/>
        <v/>
      </c>
      <c r="J7" s="4" t="str">
        <f t="shared" si="5"/>
        <v/>
      </c>
      <c r="K7" s="4" t="str">
        <f t="shared" si="6"/>
        <v/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6">
        <f t="shared" si="7"/>
        <v>46149</v>
      </c>
      <c r="B8" s="4">
        <v>4.0</v>
      </c>
      <c r="C8" s="4" t="str">
        <f t="shared" si="8"/>
        <v/>
      </c>
      <c r="D8" s="4" t="str">
        <f t="shared" si="1"/>
        <v/>
      </c>
      <c r="E8" s="3"/>
      <c r="F8" s="3"/>
      <c r="G8" s="4" t="str">
        <f t="shared" si="2"/>
        <v/>
      </c>
      <c r="H8" s="4" t="str">
        <f t="shared" si="3"/>
        <v/>
      </c>
      <c r="I8" s="4" t="str">
        <f t="shared" si="4"/>
        <v/>
      </c>
      <c r="J8" s="4" t="str">
        <f t="shared" si="5"/>
        <v/>
      </c>
      <c r="K8" s="4" t="str">
        <f t="shared" si="6"/>
        <v/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6">
        <f t="shared" si="7"/>
        <v>46150</v>
      </c>
      <c r="B9" s="4">
        <v>5.0</v>
      </c>
      <c r="C9" s="4" t="str">
        <f t="shared" si="8"/>
        <v/>
      </c>
      <c r="D9" s="4" t="str">
        <f t="shared" si="1"/>
        <v/>
      </c>
      <c r="E9" s="3"/>
      <c r="F9" s="3"/>
      <c r="G9" s="4" t="str">
        <f t="shared" si="2"/>
        <v/>
      </c>
      <c r="H9" s="4" t="str">
        <f t="shared" si="3"/>
        <v/>
      </c>
      <c r="I9" s="4" t="str">
        <f t="shared" si="4"/>
        <v/>
      </c>
      <c r="J9" s="4" t="str">
        <f t="shared" si="5"/>
        <v/>
      </c>
      <c r="K9" s="4" t="str">
        <f t="shared" si="6"/>
        <v/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6">
        <f t="shared" si="7"/>
        <v>46151</v>
      </c>
      <c r="B10" s="4">
        <v>6.0</v>
      </c>
      <c r="C10" s="4" t="str">
        <f t="shared" si="8"/>
        <v/>
      </c>
      <c r="D10" s="4" t="str">
        <f t="shared" si="1"/>
        <v/>
      </c>
      <c r="E10" s="3"/>
      <c r="F10" s="3"/>
      <c r="G10" s="4" t="str">
        <f t="shared" si="2"/>
        <v/>
      </c>
      <c r="H10" s="4" t="str">
        <f t="shared" si="3"/>
        <v/>
      </c>
      <c r="I10" s="4" t="str">
        <f t="shared" si="4"/>
        <v/>
      </c>
      <c r="J10" s="4" t="str">
        <f t="shared" si="5"/>
        <v/>
      </c>
      <c r="K10" s="4" t="str">
        <f t="shared" si="6"/>
        <v/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6">
        <f t="shared" si="7"/>
        <v>46152</v>
      </c>
      <c r="B11" s="4">
        <v>7.0</v>
      </c>
      <c r="C11" s="4" t="str">
        <f t="shared" si="8"/>
        <v/>
      </c>
      <c r="D11" s="4" t="str">
        <f t="shared" si="1"/>
        <v/>
      </c>
      <c r="E11" s="3"/>
      <c r="F11" s="3"/>
      <c r="G11" s="4" t="str">
        <f t="shared" si="2"/>
        <v/>
      </c>
      <c r="H11" s="4" t="str">
        <f t="shared" si="3"/>
        <v/>
      </c>
      <c r="I11" s="4" t="str">
        <f t="shared" si="4"/>
        <v/>
      </c>
      <c r="J11" s="4" t="str">
        <f t="shared" si="5"/>
        <v/>
      </c>
      <c r="K11" s="4" t="str">
        <f t="shared" si="6"/>
        <v/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6">
        <f t="shared" si="7"/>
        <v>46153</v>
      </c>
      <c r="B12" s="4">
        <v>8.0</v>
      </c>
      <c r="C12" s="4" t="str">
        <f t="shared" si="8"/>
        <v/>
      </c>
      <c r="D12" s="4" t="str">
        <f t="shared" si="1"/>
        <v/>
      </c>
      <c r="E12" s="4"/>
      <c r="F12" s="4"/>
      <c r="G12" s="4" t="str">
        <f t="shared" si="2"/>
        <v/>
      </c>
      <c r="H12" s="4" t="str">
        <f t="shared" si="3"/>
        <v/>
      </c>
      <c r="I12" s="4" t="str">
        <f t="shared" si="4"/>
        <v/>
      </c>
      <c r="J12" s="4" t="str">
        <f t="shared" si="5"/>
        <v/>
      </c>
      <c r="K12" s="4" t="str">
        <f t="shared" si="6"/>
        <v/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6">
        <f t="shared" si="7"/>
        <v>46154</v>
      </c>
      <c r="B13" s="4">
        <v>9.0</v>
      </c>
      <c r="C13" s="4" t="str">
        <f t="shared" si="8"/>
        <v/>
      </c>
      <c r="D13" s="4" t="str">
        <f t="shared" si="1"/>
        <v/>
      </c>
      <c r="E13" s="4"/>
      <c r="F13" s="4"/>
      <c r="G13" s="4" t="str">
        <f t="shared" si="2"/>
        <v/>
      </c>
      <c r="H13" s="4" t="str">
        <f t="shared" si="3"/>
        <v/>
      </c>
      <c r="I13" s="4" t="str">
        <f t="shared" si="4"/>
        <v/>
      </c>
      <c r="J13" s="4" t="str">
        <f t="shared" si="5"/>
        <v/>
      </c>
      <c r="K13" s="4" t="str">
        <f t="shared" si="6"/>
        <v/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6">
        <f t="shared" si="7"/>
        <v>46155</v>
      </c>
      <c r="B14" s="4">
        <v>10.0</v>
      </c>
      <c r="C14" s="4" t="str">
        <f t="shared" si="8"/>
        <v/>
      </c>
      <c r="D14" s="4" t="str">
        <f t="shared" si="1"/>
        <v/>
      </c>
      <c r="E14" s="4"/>
      <c r="F14" s="4"/>
      <c r="G14" s="4" t="str">
        <f t="shared" si="2"/>
        <v/>
      </c>
      <c r="H14" s="4" t="str">
        <f t="shared" si="3"/>
        <v/>
      </c>
      <c r="I14" s="4" t="str">
        <f t="shared" si="4"/>
        <v/>
      </c>
      <c r="J14" s="4" t="str">
        <f t="shared" si="5"/>
        <v/>
      </c>
      <c r="K14" s="4" t="str">
        <f t="shared" si="6"/>
        <v/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6">
        <f t="shared" si="7"/>
        <v>46156</v>
      </c>
      <c r="B15" s="4">
        <v>11.0</v>
      </c>
      <c r="C15" s="4" t="str">
        <f t="shared" si="8"/>
        <v/>
      </c>
      <c r="D15" s="4" t="str">
        <f t="shared" si="1"/>
        <v/>
      </c>
      <c r="E15" s="4"/>
      <c r="F15" s="4"/>
      <c r="G15" s="4" t="str">
        <f t="shared" si="2"/>
        <v/>
      </c>
      <c r="H15" s="4" t="str">
        <f t="shared" si="3"/>
        <v/>
      </c>
      <c r="I15" s="4" t="str">
        <f t="shared" si="4"/>
        <v/>
      </c>
      <c r="J15" s="4" t="str">
        <f t="shared" si="5"/>
        <v/>
      </c>
      <c r="K15" s="4" t="str">
        <f t="shared" si="6"/>
        <v/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6">
        <f t="shared" si="7"/>
        <v>46157</v>
      </c>
      <c r="B16" s="4">
        <v>12.0</v>
      </c>
      <c r="C16" s="4" t="str">
        <f t="shared" si="8"/>
        <v/>
      </c>
      <c r="D16" s="4" t="str">
        <f t="shared" si="1"/>
        <v/>
      </c>
      <c r="E16" s="4"/>
      <c r="F16" s="4"/>
      <c r="G16" s="4" t="str">
        <f t="shared" si="2"/>
        <v/>
      </c>
      <c r="H16" s="4" t="str">
        <f t="shared" si="3"/>
        <v/>
      </c>
      <c r="I16" s="4" t="str">
        <f t="shared" si="4"/>
        <v/>
      </c>
      <c r="J16" s="4" t="str">
        <f t="shared" si="5"/>
        <v/>
      </c>
      <c r="K16" s="4" t="str">
        <f t="shared" si="6"/>
        <v/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6">
        <f t="shared" si="7"/>
        <v>46158</v>
      </c>
      <c r="B17" s="4">
        <v>13.0</v>
      </c>
      <c r="C17" s="4" t="str">
        <f t="shared" si="8"/>
        <v/>
      </c>
      <c r="D17" s="4" t="str">
        <f t="shared" si="1"/>
        <v/>
      </c>
      <c r="E17" s="4"/>
      <c r="F17" s="4"/>
      <c r="G17" s="4" t="str">
        <f t="shared" si="2"/>
        <v/>
      </c>
      <c r="H17" s="4" t="str">
        <f t="shared" si="3"/>
        <v/>
      </c>
      <c r="I17" s="4" t="str">
        <f t="shared" si="4"/>
        <v/>
      </c>
      <c r="J17" s="4" t="str">
        <f t="shared" si="5"/>
        <v/>
      </c>
      <c r="K17" s="4" t="str">
        <f t="shared" si="6"/>
        <v/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6">
        <f t="shared" si="7"/>
        <v>46159</v>
      </c>
      <c r="B18" s="4">
        <v>14.0</v>
      </c>
      <c r="C18" s="4" t="str">
        <f t="shared" si="8"/>
        <v/>
      </c>
      <c r="D18" s="4" t="str">
        <f t="shared" si="1"/>
        <v/>
      </c>
      <c r="E18" s="4"/>
      <c r="F18" s="4"/>
      <c r="G18" s="4" t="str">
        <f t="shared" si="2"/>
        <v/>
      </c>
      <c r="H18" s="4" t="str">
        <f t="shared" si="3"/>
        <v/>
      </c>
      <c r="I18" s="4" t="str">
        <f t="shared" si="4"/>
        <v/>
      </c>
      <c r="J18" s="4" t="str">
        <f t="shared" si="5"/>
        <v/>
      </c>
      <c r="K18" s="4" t="str">
        <f t="shared" si="6"/>
        <v/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6">
        <f t="shared" si="7"/>
        <v>46160</v>
      </c>
      <c r="B19" s="4">
        <v>15.0</v>
      </c>
      <c r="C19" s="4" t="str">
        <f t="shared" si="8"/>
        <v/>
      </c>
      <c r="D19" s="4" t="str">
        <f t="shared" si="1"/>
        <v/>
      </c>
      <c r="E19" s="4"/>
      <c r="F19" s="4"/>
      <c r="G19" s="4" t="str">
        <f t="shared" si="2"/>
        <v/>
      </c>
      <c r="H19" s="4" t="str">
        <f t="shared" si="3"/>
        <v/>
      </c>
      <c r="I19" s="4" t="str">
        <f t="shared" si="4"/>
        <v/>
      </c>
      <c r="J19" s="4" t="str">
        <f t="shared" si="5"/>
        <v/>
      </c>
      <c r="K19" s="4" t="str">
        <f t="shared" si="6"/>
        <v/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6">
        <f t="shared" si="7"/>
        <v>46161</v>
      </c>
      <c r="B20" s="4">
        <v>16.0</v>
      </c>
      <c r="C20" s="4" t="str">
        <f t="shared" si="8"/>
        <v/>
      </c>
      <c r="D20" s="4" t="str">
        <f t="shared" si="1"/>
        <v/>
      </c>
      <c r="E20" s="4"/>
      <c r="F20" s="4"/>
      <c r="G20" s="4" t="str">
        <f t="shared" si="2"/>
        <v/>
      </c>
      <c r="H20" s="4" t="str">
        <f t="shared" si="3"/>
        <v/>
      </c>
      <c r="I20" s="4" t="str">
        <f t="shared" si="4"/>
        <v/>
      </c>
      <c r="J20" s="4" t="str">
        <f t="shared" si="5"/>
        <v/>
      </c>
      <c r="K20" s="4" t="str">
        <f t="shared" si="6"/>
        <v/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6">
        <f t="shared" si="7"/>
        <v>46162</v>
      </c>
      <c r="B21" s="4">
        <v>17.0</v>
      </c>
      <c r="C21" s="4" t="str">
        <f t="shared" si="8"/>
        <v/>
      </c>
      <c r="D21" s="4" t="str">
        <f t="shared" si="1"/>
        <v/>
      </c>
      <c r="E21" s="4"/>
      <c r="F21" s="4"/>
      <c r="G21" s="4" t="str">
        <f t="shared" si="2"/>
        <v/>
      </c>
      <c r="H21" s="4" t="str">
        <f t="shared" si="3"/>
        <v/>
      </c>
      <c r="I21" s="4" t="str">
        <f t="shared" si="4"/>
        <v/>
      </c>
      <c r="J21" s="4" t="str">
        <f t="shared" si="5"/>
        <v/>
      </c>
      <c r="K21" s="4" t="str">
        <f t="shared" si="6"/>
        <v/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6">
        <f t="shared" si="7"/>
        <v>46163</v>
      </c>
      <c r="B22" s="4">
        <v>18.0</v>
      </c>
      <c r="C22" s="4" t="str">
        <f t="shared" si="8"/>
        <v/>
      </c>
      <c r="D22" s="4" t="str">
        <f t="shared" si="1"/>
        <v/>
      </c>
      <c r="E22" s="4"/>
      <c r="F22" s="4"/>
      <c r="G22" s="4" t="str">
        <f t="shared" si="2"/>
        <v/>
      </c>
      <c r="H22" s="4" t="str">
        <f t="shared" si="3"/>
        <v/>
      </c>
      <c r="I22" s="4" t="str">
        <f t="shared" si="4"/>
        <v/>
      </c>
      <c r="J22" s="4" t="str">
        <f t="shared" si="5"/>
        <v/>
      </c>
      <c r="K22" s="4" t="str">
        <f t="shared" si="6"/>
        <v/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6">
        <f t="shared" si="7"/>
        <v>46164</v>
      </c>
      <c r="B23" s="4">
        <v>19.0</v>
      </c>
      <c r="C23" s="4" t="str">
        <f t="shared" si="8"/>
        <v/>
      </c>
      <c r="D23" s="4" t="str">
        <f t="shared" si="1"/>
        <v/>
      </c>
      <c r="E23" s="4"/>
      <c r="F23" s="4"/>
      <c r="G23" s="4" t="str">
        <f t="shared" si="2"/>
        <v/>
      </c>
      <c r="H23" s="4" t="str">
        <f t="shared" si="3"/>
        <v/>
      </c>
      <c r="I23" s="4" t="str">
        <f t="shared" si="4"/>
        <v/>
      </c>
      <c r="J23" s="4" t="str">
        <f t="shared" si="5"/>
        <v/>
      </c>
      <c r="K23" s="4" t="str">
        <f t="shared" si="6"/>
        <v/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6">
        <f t="shared" si="7"/>
        <v>46165</v>
      </c>
      <c r="B24" s="4">
        <v>20.0</v>
      </c>
      <c r="C24" s="4" t="str">
        <f t="shared" si="8"/>
        <v/>
      </c>
      <c r="D24" s="4" t="str">
        <f t="shared" si="1"/>
        <v/>
      </c>
      <c r="E24" s="4"/>
      <c r="F24" s="4"/>
      <c r="G24" s="4" t="str">
        <f t="shared" si="2"/>
        <v/>
      </c>
      <c r="H24" s="4" t="str">
        <f t="shared" si="3"/>
        <v/>
      </c>
      <c r="I24" s="4" t="str">
        <f t="shared" si="4"/>
        <v/>
      </c>
      <c r="J24" s="4" t="str">
        <f t="shared" si="5"/>
        <v/>
      </c>
      <c r="K24" s="4" t="str">
        <f t="shared" si="6"/>
        <v/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6">
        <f t="shared" si="7"/>
        <v>46166</v>
      </c>
      <c r="B25" s="4">
        <v>21.0</v>
      </c>
      <c r="C25" s="4" t="str">
        <f t="shared" si="8"/>
        <v/>
      </c>
      <c r="D25" s="4" t="str">
        <f t="shared" si="1"/>
        <v/>
      </c>
      <c r="E25" s="4"/>
      <c r="F25" s="4"/>
      <c r="G25" s="4" t="str">
        <f t="shared" si="2"/>
        <v/>
      </c>
      <c r="H25" s="4" t="str">
        <f t="shared" si="3"/>
        <v/>
      </c>
      <c r="I25" s="4" t="str">
        <f t="shared" si="4"/>
        <v/>
      </c>
      <c r="J25" s="4" t="str">
        <f t="shared" si="5"/>
        <v/>
      </c>
      <c r="K25" s="4" t="str">
        <f t="shared" si="6"/>
        <v/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6">
        <f t="shared" si="7"/>
        <v>46167</v>
      </c>
      <c r="B26" s="4">
        <v>22.0</v>
      </c>
      <c r="C26" s="4" t="str">
        <f t="shared" si="8"/>
        <v/>
      </c>
      <c r="D26" s="4" t="str">
        <f t="shared" si="1"/>
        <v/>
      </c>
      <c r="E26" s="4"/>
      <c r="F26" s="4"/>
      <c r="G26" s="4" t="str">
        <f t="shared" si="2"/>
        <v/>
      </c>
      <c r="H26" s="4" t="str">
        <f t="shared" si="3"/>
        <v/>
      </c>
      <c r="I26" s="4" t="str">
        <f t="shared" si="4"/>
        <v/>
      </c>
      <c r="J26" s="4" t="str">
        <f t="shared" si="5"/>
        <v/>
      </c>
      <c r="K26" s="4" t="str">
        <f t="shared" si="6"/>
        <v/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6">
        <f t="shared" si="7"/>
        <v>46168</v>
      </c>
      <c r="B27" s="4">
        <v>23.0</v>
      </c>
      <c r="C27" s="4" t="str">
        <f t="shared" si="8"/>
        <v/>
      </c>
      <c r="D27" s="4" t="str">
        <f t="shared" si="1"/>
        <v/>
      </c>
      <c r="E27" s="4"/>
      <c r="F27" s="4"/>
      <c r="G27" s="4" t="str">
        <f t="shared" si="2"/>
        <v/>
      </c>
      <c r="H27" s="4" t="str">
        <f t="shared" si="3"/>
        <v/>
      </c>
      <c r="I27" s="4" t="str">
        <f t="shared" si="4"/>
        <v/>
      </c>
      <c r="J27" s="4" t="str">
        <f t="shared" si="5"/>
        <v/>
      </c>
      <c r="K27" s="4" t="str">
        <f t="shared" si="6"/>
        <v/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6">
        <f t="shared" si="7"/>
        <v>46169</v>
      </c>
      <c r="B28" s="4">
        <v>24.0</v>
      </c>
      <c r="C28" s="4" t="str">
        <f t="shared" si="8"/>
        <v/>
      </c>
      <c r="D28" s="4" t="str">
        <f t="shared" si="1"/>
        <v/>
      </c>
      <c r="E28" s="4"/>
      <c r="F28" s="4"/>
      <c r="G28" s="4" t="str">
        <f t="shared" si="2"/>
        <v/>
      </c>
      <c r="H28" s="4" t="str">
        <f t="shared" si="3"/>
        <v/>
      </c>
      <c r="I28" s="4" t="str">
        <f t="shared" si="4"/>
        <v/>
      </c>
      <c r="J28" s="4" t="str">
        <f t="shared" si="5"/>
        <v/>
      </c>
      <c r="K28" s="4" t="str">
        <f t="shared" si="6"/>
        <v/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6">
        <f t="shared" si="7"/>
        <v>46170</v>
      </c>
      <c r="B29" s="4">
        <v>25.0</v>
      </c>
      <c r="C29" s="4" t="str">
        <f t="shared" si="8"/>
        <v/>
      </c>
      <c r="D29" s="4" t="str">
        <f t="shared" si="1"/>
        <v/>
      </c>
      <c r="E29" s="4"/>
      <c r="F29" s="4"/>
      <c r="G29" s="4" t="str">
        <f t="shared" si="2"/>
        <v/>
      </c>
      <c r="H29" s="4" t="str">
        <f t="shared" si="3"/>
        <v/>
      </c>
      <c r="I29" s="4" t="str">
        <f t="shared" si="4"/>
        <v/>
      </c>
      <c r="J29" s="4" t="str">
        <f t="shared" si="5"/>
        <v/>
      </c>
      <c r="K29" s="4" t="str">
        <f t="shared" si="6"/>
        <v/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6">
        <f t="shared" si="7"/>
        <v>46171</v>
      </c>
      <c r="B30" s="4">
        <v>26.0</v>
      </c>
      <c r="C30" s="4" t="str">
        <f t="shared" si="8"/>
        <v/>
      </c>
      <c r="D30" s="4" t="str">
        <f t="shared" si="1"/>
        <v/>
      </c>
      <c r="E30" s="4"/>
      <c r="F30" s="4"/>
      <c r="G30" s="4" t="str">
        <f t="shared" si="2"/>
        <v/>
      </c>
      <c r="H30" s="4" t="str">
        <f t="shared" si="3"/>
        <v/>
      </c>
      <c r="I30" s="4" t="str">
        <f t="shared" si="4"/>
        <v/>
      </c>
      <c r="J30" s="4" t="str">
        <f t="shared" si="5"/>
        <v/>
      </c>
      <c r="K30" s="4" t="str">
        <f t="shared" si="6"/>
        <v/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6">
        <f t="shared" si="7"/>
        <v>46172</v>
      </c>
      <c r="B31" s="4">
        <v>27.0</v>
      </c>
      <c r="C31" s="4" t="str">
        <f t="shared" si="8"/>
        <v/>
      </c>
      <c r="D31" s="4" t="str">
        <f t="shared" si="1"/>
        <v/>
      </c>
      <c r="E31" s="4"/>
      <c r="F31" s="4"/>
      <c r="G31" s="4" t="str">
        <f t="shared" si="2"/>
        <v/>
      </c>
      <c r="H31" s="4" t="str">
        <f t="shared" si="3"/>
        <v/>
      </c>
      <c r="I31" s="4" t="str">
        <f t="shared" si="4"/>
        <v/>
      </c>
      <c r="J31" s="4" t="str">
        <f t="shared" si="5"/>
        <v/>
      </c>
      <c r="K31" s="4" t="str">
        <f t="shared" si="6"/>
        <v/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6">
        <f t="shared" si="7"/>
        <v>46173</v>
      </c>
      <c r="B32" s="4">
        <v>28.0</v>
      </c>
      <c r="C32" s="4" t="str">
        <f t="shared" si="8"/>
        <v/>
      </c>
      <c r="D32" s="4" t="str">
        <f t="shared" si="1"/>
        <v/>
      </c>
      <c r="E32" s="4"/>
      <c r="F32" s="4"/>
      <c r="G32" s="4" t="str">
        <f t="shared" si="2"/>
        <v/>
      </c>
      <c r="H32" s="4" t="str">
        <f t="shared" si="3"/>
        <v/>
      </c>
      <c r="I32" s="4" t="str">
        <f t="shared" si="4"/>
        <v/>
      </c>
      <c r="J32" s="4" t="str">
        <f t="shared" si="5"/>
        <v/>
      </c>
      <c r="K32" s="4" t="str">
        <f t="shared" si="6"/>
        <v/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6">
        <f t="shared" si="7"/>
        <v>46174</v>
      </c>
      <c r="B33" s="4">
        <v>29.0</v>
      </c>
      <c r="C33" s="4" t="str">
        <f t="shared" si="8"/>
        <v/>
      </c>
      <c r="D33" s="4" t="str">
        <f t="shared" si="1"/>
        <v/>
      </c>
      <c r="E33" s="4"/>
      <c r="F33" s="4"/>
      <c r="G33" s="4" t="str">
        <f t="shared" si="2"/>
        <v/>
      </c>
      <c r="H33" s="4" t="str">
        <f t="shared" si="3"/>
        <v/>
      </c>
      <c r="I33" s="4" t="str">
        <f t="shared" si="4"/>
        <v/>
      </c>
      <c r="J33" s="4" t="str">
        <f t="shared" si="5"/>
        <v/>
      </c>
      <c r="K33" s="4" t="str">
        <f t="shared" si="6"/>
        <v/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6">
        <f t="shared" si="7"/>
        <v>46175</v>
      </c>
      <c r="B34" s="4">
        <v>30.0</v>
      </c>
      <c r="C34" s="4" t="str">
        <f t="shared" si="8"/>
        <v/>
      </c>
      <c r="D34" s="4" t="str">
        <f t="shared" si="1"/>
        <v/>
      </c>
      <c r="E34" s="4"/>
      <c r="F34" s="4"/>
      <c r="G34" s="4" t="str">
        <f t="shared" si="2"/>
        <v/>
      </c>
      <c r="H34" s="4" t="str">
        <f t="shared" si="3"/>
        <v/>
      </c>
      <c r="I34" s="4" t="str">
        <f t="shared" si="4"/>
        <v/>
      </c>
      <c r="J34" s="4" t="str">
        <f t="shared" si="5"/>
        <v/>
      </c>
      <c r="K34" s="4" t="str">
        <f t="shared" si="6"/>
        <v/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</sheetData>
  <mergeCells count="2">
    <mergeCell ref="A1:B2"/>
    <mergeCell ref="C1:D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2">
        <f t="array" ref="C1">IFERROR(INDEX(K5:K1001, MATCH(9.99E+307, K5:K1001)) + SUM(I5:I1001), SUM(C5, I5:I1001))
</f>
        <v>623</v>
      </c>
      <c r="E1" s="3"/>
      <c r="F1" s="3"/>
      <c r="G1" s="3"/>
      <c r="H1" s="3"/>
      <c r="I1" s="3"/>
      <c r="J1" s="3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E2" s="3"/>
      <c r="F2" s="3"/>
      <c r="G2" s="3"/>
      <c r="H2" s="3"/>
      <c r="I2" s="3"/>
      <c r="J2" s="3"/>
      <c r="K2" s="3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>
        <f>DATE(2026, 5, 4)</f>
        <v>46146</v>
      </c>
      <c r="B5" s="4">
        <f t="array" ref="B5:B34">SEQUENCE(30,1,1,1)</f>
        <v>1</v>
      </c>
      <c r="C5" s="3">
        <v>500.0</v>
      </c>
      <c r="D5" s="4">
        <f t="shared" ref="D5:D34" si="1">IF(OR(C5="", C5=0), "", ROUND(C5 * 0.2, 2))</f>
        <v>100</v>
      </c>
      <c r="E5" s="3">
        <v>2.23</v>
      </c>
      <c r="F5" s="3" t="s">
        <v>12</v>
      </c>
      <c r="G5" s="4">
        <f t="shared" ref="G5:G34" si="2">IF(F5="", "", ROUND(IF(F5="W", D5*E5, 0), 2))</f>
        <v>223</v>
      </c>
      <c r="H5" s="4">
        <f t="shared" ref="H5:H34" si="3">IF(F5="", "", ROUND(IF(F5="W", G5-D5, -D5), 2))</f>
        <v>123</v>
      </c>
      <c r="I5" s="4">
        <f t="shared" ref="I5:I34" si="4">IF(VALUE(N(H5)) &lt;= 0, "", ROUND(H5 * 0.25, 2))
</f>
        <v>30.75</v>
      </c>
      <c r="J5" s="4">
        <f t="shared" ref="J5:J34" si="5">IF(H5="", "", ROUND(IF(H5&gt;0, H5*0.75, H5), 2))</f>
        <v>92.25</v>
      </c>
      <c r="K5" s="4">
        <f t="shared" ref="K5:K34" si="6">IF(H5="", "", ROUND(C5 + J5, 2))</f>
        <v>592.25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>
        <f t="shared" ref="A6:A34" si="7">A5+1</f>
        <v>46147</v>
      </c>
      <c r="B6" s="4">
        <v>2.0</v>
      </c>
      <c r="C6" s="4">
        <f t="shared" ref="C6:C34" si="8">K5</f>
        <v>592.25</v>
      </c>
      <c r="D6" s="4">
        <f t="shared" si="1"/>
        <v>118.45</v>
      </c>
      <c r="E6" s="3"/>
      <c r="F6" s="3"/>
      <c r="G6" s="4" t="str">
        <f t="shared" si="2"/>
        <v/>
      </c>
      <c r="H6" s="4" t="str">
        <f t="shared" si="3"/>
        <v/>
      </c>
      <c r="I6" s="4" t="str">
        <f t="shared" si="4"/>
        <v/>
      </c>
      <c r="J6" s="4" t="str">
        <f t="shared" si="5"/>
        <v/>
      </c>
      <c r="K6" s="4" t="str">
        <f t="shared" si="6"/>
        <v/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6">
        <f t="shared" si="7"/>
        <v>46148</v>
      </c>
      <c r="B7" s="4">
        <v>3.0</v>
      </c>
      <c r="C7" s="4" t="str">
        <f t="shared" si="8"/>
        <v/>
      </c>
      <c r="D7" s="4" t="str">
        <f t="shared" si="1"/>
        <v/>
      </c>
      <c r="E7" s="3"/>
      <c r="F7" s="3"/>
      <c r="G7" s="4" t="str">
        <f t="shared" si="2"/>
        <v/>
      </c>
      <c r="H7" s="4" t="str">
        <f t="shared" si="3"/>
        <v/>
      </c>
      <c r="I7" s="4" t="str">
        <f t="shared" si="4"/>
        <v/>
      </c>
      <c r="J7" s="4" t="str">
        <f t="shared" si="5"/>
        <v/>
      </c>
      <c r="K7" s="4" t="str">
        <f t="shared" si="6"/>
        <v/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6">
        <f t="shared" si="7"/>
        <v>46149</v>
      </c>
      <c r="B8" s="4">
        <v>4.0</v>
      </c>
      <c r="C8" s="4" t="str">
        <f t="shared" si="8"/>
        <v/>
      </c>
      <c r="D8" s="4" t="str">
        <f t="shared" si="1"/>
        <v/>
      </c>
      <c r="E8" s="3"/>
      <c r="F8" s="3"/>
      <c r="G8" s="4" t="str">
        <f t="shared" si="2"/>
        <v/>
      </c>
      <c r="H8" s="4" t="str">
        <f t="shared" si="3"/>
        <v/>
      </c>
      <c r="I8" s="4" t="str">
        <f t="shared" si="4"/>
        <v/>
      </c>
      <c r="J8" s="4" t="str">
        <f t="shared" si="5"/>
        <v/>
      </c>
      <c r="K8" s="4" t="str">
        <f t="shared" si="6"/>
        <v/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6">
        <f t="shared" si="7"/>
        <v>46150</v>
      </c>
      <c r="B9" s="4">
        <v>5.0</v>
      </c>
      <c r="C9" s="4" t="str">
        <f t="shared" si="8"/>
        <v/>
      </c>
      <c r="D9" s="4" t="str">
        <f t="shared" si="1"/>
        <v/>
      </c>
      <c r="E9" s="3"/>
      <c r="F9" s="3"/>
      <c r="G9" s="4" t="str">
        <f t="shared" si="2"/>
        <v/>
      </c>
      <c r="H9" s="4" t="str">
        <f t="shared" si="3"/>
        <v/>
      </c>
      <c r="I9" s="4" t="str">
        <f t="shared" si="4"/>
        <v/>
      </c>
      <c r="J9" s="4" t="str">
        <f t="shared" si="5"/>
        <v/>
      </c>
      <c r="K9" s="4" t="str">
        <f t="shared" si="6"/>
        <v/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6">
        <f t="shared" si="7"/>
        <v>46151</v>
      </c>
      <c r="B10" s="4">
        <v>6.0</v>
      </c>
      <c r="C10" s="4" t="str">
        <f t="shared" si="8"/>
        <v/>
      </c>
      <c r="D10" s="4" t="str">
        <f t="shared" si="1"/>
        <v/>
      </c>
      <c r="E10" s="3"/>
      <c r="F10" s="3"/>
      <c r="G10" s="4" t="str">
        <f t="shared" si="2"/>
        <v/>
      </c>
      <c r="H10" s="4" t="str">
        <f t="shared" si="3"/>
        <v/>
      </c>
      <c r="I10" s="4" t="str">
        <f t="shared" si="4"/>
        <v/>
      </c>
      <c r="J10" s="4" t="str">
        <f t="shared" si="5"/>
        <v/>
      </c>
      <c r="K10" s="4" t="str">
        <f t="shared" si="6"/>
        <v/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6">
        <f t="shared" si="7"/>
        <v>46152</v>
      </c>
      <c r="B11" s="4">
        <v>7.0</v>
      </c>
      <c r="C11" s="4" t="str">
        <f t="shared" si="8"/>
        <v/>
      </c>
      <c r="D11" s="4" t="str">
        <f t="shared" si="1"/>
        <v/>
      </c>
      <c r="E11" s="3"/>
      <c r="F11" s="3"/>
      <c r="G11" s="4" t="str">
        <f t="shared" si="2"/>
        <v/>
      </c>
      <c r="H11" s="4" t="str">
        <f t="shared" si="3"/>
        <v/>
      </c>
      <c r="I11" s="4" t="str">
        <f t="shared" si="4"/>
        <v/>
      </c>
      <c r="J11" s="4" t="str">
        <f t="shared" si="5"/>
        <v/>
      </c>
      <c r="K11" s="4" t="str">
        <f t="shared" si="6"/>
        <v/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6">
        <f t="shared" si="7"/>
        <v>46153</v>
      </c>
      <c r="B12" s="4">
        <v>8.0</v>
      </c>
      <c r="C12" s="4" t="str">
        <f t="shared" si="8"/>
        <v/>
      </c>
      <c r="D12" s="4" t="str">
        <f t="shared" si="1"/>
        <v/>
      </c>
      <c r="E12" s="4"/>
      <c r="F12" s="4"/>
      <c r="G12" s="4" t="str">
        <f t="shared" si="2"/>
        <v/>
      </c>
      <c r="H12" s="4" t="str">
        <f t="shared" si="3"/>
        <v/>
      </c>
      <c r="I12" s="4" t="str">
        <f t="shared" si="4"/>
        <v/>
      </c>
      <c r="J12" s="4" t="str">
        <f t="shared" si="5"/>
        <v/>
      </c>
      <c r="K12" s="4" t="str">
        <f t="shared" si="6"/>
        <v/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6">
        <f t="shared" si="7"/>
        <v>46154</v>
      </c>
      <c r="B13" s="4">
        <v>9.0</v>
      </c>
      <c r="C13" s="4" t="str">
        <f t="shared" si="8"/>
        <v/>
      </c>
      <c r="D13" s="4" t="str">
        <f t="shared" si="1"/>
        <v/>
      </c>
      <c r="E13" s="4"/>
      <c r="F13" s="4"/>
      <c r="G13" s="4" t="str">
        <f t="shared" si="2"/>
        <v/>
      </c>
      <c r="H13" s="4" t="str">
        <f t="shared" si="3"/>
        <v/>
      </c>
      <c r="I13" s="4" t="str">
        <f t="shared" si="4"/>
        <v/>
      </c>
      <c r="J13" s="4" t="str">
        <f t="shared" si="5"/>
        <v/>
      </c>
      <c r="K13" s="4" t="str">
        <f t="shared" si="6"/>
        <v/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6">
        <f t="shared" si="7"/>
        <v>46155</v>
      </c>
      <c r="B14" s="4">
        <v>10.0</v>
      </c>
      <c r="C14" s="4" t="str">
        <f t="shared" si="8"/>
        <v/>
      </c>
      <c r="D14" s="4" t="str">
        <f t="shared" si="1"/>
        <v/>
      </c>
      <c r="E14" s="4"/>
      <c r="F14" s="4"/>
      <c r="G14" s="4" t="str">
        <f t="shared" si="2"/>
        <v/>
      </c>
      <c r="H14" s="4" t="str">
        <f t="shared" si="3"/>
        <v/>
      </c>
      <c r="I14" s="4" t="str">
        <f t="shared" si="4"/>
        <v/>
      </c>
      <c r="J14" s="4" t="str">
        <f t="shared" si="5"/>
        <v/>
      </c>
      <c r="K14" s="4" t="str">
        <f t="shared" si="6"/>
        <v/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6">
        <f t="shared" si="7"/>
        <v>46156</v>
      </c>
      <c r="B15" s="4">
        <v>11.0</v>
      </c>
      <c r="C15" s="4" t="str">
        <f t="shared" si="8"/>
        <v/>
      </c>
      <c r="D15" s="4" t="str">
        <f t="shared" si="1"/>
        <v/>
      </c>
      <c r="E15" s="4"/>
      <c r="F15" s="4"/>
      <c r="G15" s="4" t="str">
        <f t="shared" si="2"/>
        <v/>
      </c>
      <c r="H15" s="4" t="str">
        <f t="shared" si="3"/>
        <v/>
      </c>
      <c r="I15" s="4" t="str">
        <f t="shared" si="4"/>
        <v/>
      </c>
      <c r="J15" s="4" t="str">
        <f t="shared" si="5"/>
        <v/>
      </c>
      <c r="K15" s="4" t="str">
        <f t="shared" si="6"/>
        <v/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6">
        <f t="shared" si="7"/>
        <v>46157</v>
      </c>
      <c r="B16" s="4">
        <v>12.0</v>
      </c>
      <c r="C16" s="4" t="str">
        <f t="shared" si="8"/>
        <v/>
      </c>
      <c r="D16" s="4" t="str">
        <f t="shared" si="1"/>
        <v/>
      </c>
      <c r="E16" s="4"/>
      <c r="F16" s="4"/>
      <c r="G16" s="4" t="str">
        <f t="shared" si="2"/>
        <v/>
      </c>
      <c r="H16" s="4" t="str">
        <f t="shared" si="3"/>
        <v/>
      </c>
      <c r="I16" s="4" t="str">
        <f t="shared" si="4"/>
        <v/>
      </c>
      <c r="J16" s="4" t="str">
        <f t="shared" si="5"/>
        <v/>
      </c>
      <c r="K16" s="4" t="str">
        <f t="shared" si="6"/>
        <v/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6">
        <f t="shared" si="7"/>
        <v>46158</v>
      </c>
      <c r="B17" s="4">
        <v>13.0</v>
      </c>
      <c r="C17" s="4" t="str">
        <f t="shared" si="8"/>
        <v/>
      </c>
      <c r="D17" s="4" t="str">
        <f t="shared" si="1"/>
        <v/>
      </c>
      <c r="E17" s="4"/>
      <c r="F17" s="4"/>
      <c r="G17" s="4" t="str">
        <f t="shared" si="2"/>
        <v/>
      </c>
      <c r="H17" s="4" t="str">
        <f t="shared" si="3"/>
        <v/>
      </c>
      <c r="I17" s="4" t="str">
        <f t="shared" si="4"/>
        <v/>
      </c>
      <c r="J17" s="4" t="str">
        <f t="shared" si="5"/>
        <v/>
      </c>
      <c r="K17" s="4" t="str">
        <f t="shared" si="6"/>
        <v/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6">
        <f t="shared" si="7"/>
        <v>46159</v>
      </c>
      <c r="B18" s="4">
        <v>14.0</v>
      </c>
      <c r="C18" s="4" t="str">
        <f t="shared" si="8"/>
        <v/>
      </c>
      <c r="D18" s="4" t="str">
        <f t="shared" si="1"/>
        <v/>
      </c>
      <c r="E18" s="4"/>
      <c r="F18" s="4"/>
      <c r="G18" s="4" t="str">
        <f t="shared" si="2"/>
        <v/>
      </c>
      <c r="H18" s="4" t="str">
        <f t="shared" si="3"/>
        <v/>
      </c>
      <c r="I18" s="4" t="str">
        <f t="shared" si="4"/>
        <v/>
      </c>
      <c r="J18" s="4" t="str">
        <f t="shared" si="5"/>
        <v/>
      </c>
      <c r="K18" s="4" t="str">
        <f t="shared" si="6"/>
        <v/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6">
        <f t="shared" si="7"/>
        <v>46160</v>
      </c>
      <c r="B19" s="4">
        <v>15.0</v>
      </c>
      <c r="C19" s="4" t="str">
        <f t="shared" si="8"/>
        <v/>
      </c>
      <c r="D19" s="4" t="str">
        <f t="shared" si="1"/>
        <v/>
      </c>
      <c r="E19" s="4"/>
      <c r="F19" s="4"/>
      <c r="G19" s="4" t="str">
        <f t="shared" si="2"/>
        <v/>
      </c>
      <c r="H19" s="4" t="str">
        <f t="shared" si="3"/>
        <v/>
      </c>
      <c r="I19" s="4" t="str">
        <f t="shared" si="4"/>
        <v/>
      </c>
      <c r="J19" s="4" t="str">
        <f t="shared" si="5"/>
        <v/>
      </c>
      <c r="K19" s="4" t="str">
        <f t="shared" si="6"/>
        <v/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6">
        <f t="shared" si="7"/>
        <v>46161</v>
      </c>
      <c r="B20" s="4">
        <v>16.0</v>
      </c>
      <c r="C20" s="4" t="str">
        <f t="shared" si="8"/>
        <v/>
      </c>
      <c r="D20" s="4" t="str">
        <f t="shared" si="1"/>
        <v/>
      </c>
      <c r="E20" s="4"/>
      <c r="F20" s="4"/>
      <c r="G20" s="4" t="str">
        <f t="shared" si="2"/>
        <v/>
      </c>
      <c r="H20" s="4" t="str">
        <f t="shared" si="3"/>
        <v/>
      </c>
      <c r="I20" s="4" t="str">
        <f t="shared" si="4"/>
        <v/>
      </c>
      <c r="J20" s="4" t="str">
        <f t="shared" si="5"/>
        <v/>
      </c>
      <c r="K20" s="4" t="str">
        <f t="shared" si="6"/>
        <v/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6">
        <f t="shared" si="7"/>
        <v>46162</v>
      </c>
      <c r="B21" s="4">
        <v>17.0</v>
      </c>
      <c r="C21" s="4" t="str">
        <f t="shared" si="8"/>
        <v/>
      </c>
      <c r="D21" s="4" t="str">
        <f t="shared" si="1"/>
        <v/>
      </c>
      <c r="E21" s="4"/>
      <c r="F21" s="4"/>
      <c r="G21" s="4" t="str">
        <f t="shared" si="2"/>
        <v/>
      </c>
      <c r="H21" s="4" t="str">
        <f t="shared" si="3"/>
        <v/>
      </c>
      <c r="I21" s="4" t="str">
        <f t="shared" si="4"/>
        <v/>
      </c>
      <c r="J21" s="4" t="str">
        <f t="shared" si="5"/>
        <v/>
      </c>
      <c r="K21" s="4" t="str">
        <f t="shared" si="6"/>
        <v/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6">
        <f t="shared" si="7"/>
        <v>46163</v>
      </c>
      <c r="B22" s="4">
        <v>18.0</v>
      </c>
      <c r="C22" s="4" t="str">
        <f t="shared" si="8"/>
        <v/>
      </c>
      <c r="D22" s="4" t="str">
        <f t="shared" si="1"/>
        <v/>
      </c>
      <c r="E22" s="4"/>
      <c r="F22" s="4"/>
      <c r="G22" s="4" t="str">
        <f t="shared" si="2"/>
        <v/>
      </c>
      <c r="H22" s="4" t="str">
        <f t="shared" si="3"/>
        <v/>
      </c>
      <c r="I22" s="4" t="str">
        <f t="shared" si="4"/>
        <v/>
      </c>
      <c r="J22" s="4" t="str">
        <f t="shared" si="5"/>
        <v/>
      </c>
      <c r="K22" s="4" t="str">
        <f t="shared" si="6"/>
        <v/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6">
        <f t="shared" si="7"/>
        <v>46164</v>
      </c>
      <c r="B23" s="4">
        <v>19.0</v>
      </c>
      <c r="C23" s="4" t="str">
        <f t="shared" si="8"/>
        <v/>
      </c>
      <c r="D23" s="4" t="str">
        <f t="shared" si="1"/>
        <v/>
      </c>
      <c r="E23" s="4"/>
      <c r="F23" s="4"/>
      <c r="G23" s="4" t="str">
        <f t="shared" si="2"/>
        <v/>
      </c>
      <c r="H23" s="4" t="str">
        <f t="shared" si="3"/>
        <v/>
      </c>
      <c r="I23" s="4" t="str">
        <f t="shared" si="4"/>
        <v/>
      </c>
      <c r="J23" s="4" t="str">
        <f t="shared" si="5"/>
        <v/>
      </c>
      <c r="K23" s="4" t="str">
        <f t="shared" si="6"/>
        <v/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6">
        <f t="shared" si="7"/>
        <v>46165</v>
      </c>
      <c r="B24" s="4">
        <v>20.0</v>
      </c>
      <c r="C24" s="4" t="str">
        <f t="shared" si="8"/>
        <v/>
      </c>
      <c r="D24" s="4" t="str">
        <f t="shared" si="1"/>
        <v/>
      </c>
      <c r="E24" s="4"/>
      <c r="F24" s="4"/>
      <c r="G24" s="4" t="str">
        <f t="shared" si="2"/>
        <v/>
      </c>
      <c r="H24" s="4" t="str">
        <f t="shared" si="3"/>
        <v/>
      </c>
      <c r="I24" s="4" t="str">
        <f t="shared" si="4"/>
        <v/>
      </c>
      <c r="J24" s="4" t="str">
        <f t="shared" si="5"/>
        <v/>
      </c>
      <c r="K24" s="4" t="str">
        <f t="shared" si="6"/>
        <v/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6">
        <f t="shared" si="7"/>
        <v>46166</v>
      </c>
      <c r="B25" s="4">
        <v>21.0</v>
      </c>
      <c r="C25" s="4" t="str">
        <f t="shared" si="8"/>
        <v/>
      </c>
      <c r="D25" s="4" t="str">
        <f t="shared" si="1"/>
        <v/>
      </c>
      <c r="E25" s="4"/>
      <c r="F25" s="4"/>
      <c r="G25" s="4" t="str">
        <f t="shared" si="2"/>
        <v/>
      </c>
      <c r="H25" s="4" t="str">
        <f t="shared" si="3"/>
        <v/>
      </c>
      <c r="I25" s="4" t="str">
        <f t="shared" si="4"/>
        <v/>
      </c>
      <c r="J25" s="4" t="str">
        <f t="shared" si="5"/>
        <v/>
      </c>
      <c r="K25" s="4" t="str">
        <f t="shared" si="6"/>
        <v/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6">
        <f t="shared" si="7"/>
        <v>46167</v>
      </c>
      <c r="B26" s="4">
        <v>22.0</v>
      </c>
      <c r="C26" s="4" t="str">
        <f t="shared" si="8"/>
        <v/>
      </c>
      <c r="D26" s="4" t="str">
        <f t="shared" si="1"/>
        <v/>
      </c>
      <c r="E26" s="4"/>
      <c r="F26" s="4"/>
      <c r="G26" s="4" t="str">
        <f t="shared" si="2"/>
        <v/>
      </c>
      <c r="H26" s="4" t="str">
        <f t="shared" si="3"/>
        <v/>
      </c>
      <c r="I26" s="4" t="str">
        <f t="shared" si="4"/>
        <v/>
      </c>
      <c r="J26" s="4" t="str">
        <f t="shared" si="5"/>
        <v/>
      </c>
      <c r="K26" s="4" t="str">
        <f t="shared" si="6"/>
        <v/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6">
        <f t="shared" si="7"/>
        <v>46168</v>
      </c>
      <c r="B27" s="4">
        <v>23.0</v>
      </c>
      <c r="C27" s="4" t="str">
        <f t="shared" si="8"/>
        <v/>
      </c>
      <c r="D27" s="4" t="str">
        <f t="shared" si="1"/>
        <v/>
      </c>
      <c r="E27" s="4"/>
      <c r="F27" s="4"/>
      <c r="G27" s="4" t="str">
        <f t="shared" si="2"/>
        <v/>
      </c>
      <c r="H27" s="4" t="str">
        <f t="shared" si="3"/>
        <v/>
      </c>
      <c r="I27" s="4" t="str">
        <f t="shared" si="4"/>
        <v/>
      </c>
      <c r="J27" s="4" t="str">
        <f t="shared" si="5"/>
        <v/>
      </c>
      <c r="K27" s="4" t="str">
        <f t="shared" si="6"/>
        <v/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6">
        <f t="shared" si="7"/>
        <v>46169</v>
      </c>
      <c r="B28" s="4">
        <v>24.0</v>
      </c>
      <c r="C28" s="4" t="str">
        <f t="shared" si="8"/>
        <v/>
      </c>
      <c r="D28" s="4" t="str">
        <f t="shared" si="1"/>
        <v/>
      </c>
      <c r="E28" s="4"/>
      <c r="F28" s="4"/>
      <c r="G28" s="4" t="str">
        <f t="shared" si="2"/>
        <v/>
      </c>
      <c r="H28" s="4" t="str">
        <f t="shared" si="3"/>
        <v/>
      </c>
      <c r="I28" s="4" t="str">
        <f t="shared" si="4"/>
        <v/>
      </c>
      <c r="J28" s="4" t="str">
        <f t="shared" si="5"/>
        <v/>
      </c>
      <c r="K28" s="4" t="str">
        <f t="shared" si="6"/>
        <v/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6">
        <f t="shared" si="7"/>
        <v>46170</v>
      </c>
      <c r="B29" s="4">
        <v>25.0</v>
      </c>
      <c r="C29" s="4" t="str">
        <f t="shared" si="8"/>
        <v/>
      </c>
      <c r="D29" s="4" t="str">
        <f t="shared" si="1"/>
        <v/>
      </c>
      <c r="E29" s="4"/>
      <c r="F29" s="4"/>
      <c r="G29" s="4" t="str">
        <f t="shared" si="2"/>
        <v/>
      </c>
      <c r="H29" s="4" t="str">
        <f t="shared" si="3"/>
        <v/>
      </c>
      <c r="I29" s="4" t="str">
        <f t="shared" si="4"/>
        <v/>
      </c>
      <c r="J29" s="4" t="str">
        <f t="shared" si="5"/>
        <v/>
      </c>
      <c r="K29" s="4" t="str">
        <f t="shared" si="6"/>
        <v/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6">
        <f t="shared" si="7"/>
        <v>46171</v>
      </c>
      <c r="B30" s="4">
        <v>26.0</v>
      </c>
      <c r="C30" s="4" t="str">
        <f t="shared" si="8"/>
        <v/>
      </c>
      <c r="D30" s="4" t="str">
        <f t="shared" si="1"/>
        <v/>
      </c>
      <c r="E30" s="4"/>
      <c r="F30" s="4"/>
      <c r="G30" s="4" t="str">
        <f t="shared" si="2"/>
        <v/>
      </c>
      <c r="H30" s="4" t="str">
        <f t="shared" si="3"/>
        <v/>
      </c>
      <c r="I30" s="4" t="str">
        <f t="shared" si="4"/>
        <v/>
      </c>
      <c r="J30" s="4" t="str">
        <f t="shared" si="5"/>
        <v/>
      </c>
      <c r="K30" s="4" t="str">
        <f t="shared" si="6"/>
        <v/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6">
        <f t="shared" si="7"/>
        <v>46172</v>
      </c>
      <c r="B31" s="4">
        <v>27.0</v>
      </c>
      <c r="C31" s="4" t="str">
        <f t="shared" si="8"/>
        <v/>
      </c>
      <c r="D31" s="4" t="str">
        <f t="shared" si="1"/>
        <v/>
      </c>
      <c r="E31" s="4"/>
      <c r="F31" s="4"/>
      <c r="G31" s="4" t="str">
        <f t="shared" si="2"/>
        <v/>
      </c>
      <c r="H31" s="4" t="str">
        <f t="shared" si="3"/>
        <v/>
      </c>
      <c r="I31" s="4" t="str">
        <f t="shared" si="4"/>
        <v/>
      </c>
      <c r="J31" s="4" t="str">
        <f t="shared" si="5"/>
        <v/>
      </c>
      <c r="K31" s="4" t="str">
        <f t="shared" si="6"/>
        <v/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6">
        <f t="shared" si="7"/>
        <v>46173</v>
      </c>
      <c r="B32" s="4">
        <v>28.0</v>
      </c>
      <c r="C32" s="4" t="str">
        <f t="shared" si="8"/>
        <v/>
      </c>
      <c r="D32" s="4" t="str">
        <f t="shared" si="1"/>
        <v/>
      </c>
      <c r="E32" s="4"/>
      <c r="F32" s="4"/>
      <c r="G32" s="4" t="str">
        <f t="shared" si="2"/>
        <v/>
      </c>
      <c r="H32" s="4" t="str">
        <f t="shared" si="3"/>
        <v/>
      </c>
      <c r="I32" s="4" t="str">
        <f t="shared" si="4"/>
        <v/>
      </c>
      <c r="J32" s="4" t="str">
        <f t="shared" si="5"/>
        <v/>
      </c>
      <c r="K32" s="4" t="str">
        <f t="shared" si="6"/>
        <v/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6">
        <f t="shared" si="7"/>
        <v>46174</v>
      </c>
      <c r="B33" s="4">
        <v>29.0</v>
      </c>
      <c r="C33" s="4" t="str">
        <f t="shared" si="8"/>
        <v/>
      </c>
      <c r="D33" s="4" t="str">
        <f t="shared" si="1"/>
        <v/>
      </c>
      <c r="E33" s="4"/>
      <c r="F33" s="4"/>
      <c r="G33" s="4" t="str">
        <f t="shared" si="2"/>
        <v/>
      </c>
      <c r="H33" s="4" t="str">
        <f t="shared" si="3"/>
        <v/>
      </c>
      <c r="I33" s="4" t="str">
        <f t="shared" si="4"/>
        <v/>
      </c>
      <c r="J33" s="4" t="str">
        <f t="shared" si="5"/>
        <v/>
      </c>
      <c r="K33" s="4" t="str">
        <f t="shared" si="6"/>
        <v/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6">
        <f t="shared" si="7"/>
        <v>46175</v>
      </c>
      <c r="B34" s="4">
        <v>30.0</v>
      </c>
      <c r="C34" s="4" t="str">
        <f t="shared" si="8"/>
        <v/>
      </c>
      <c r="D34" s="4" t="str">
        <f t="shared" si="1"/>
        <v/>
      </c>
      <c r="E34" s="4"/>
      <c r="F34" s="4"/>
      <c r="G34" s="4" t="str">
        <f t="shared" si="2"/>
        <v/>
      </c>
      <c r="H34" s="4" t="str">
        <f t="shared" si="3"/>
        <v/>
      </c>
      <c r="I34" s="4" t="str">
        <f t="shared" si="4"/>
        <v/>
      </c>
      <c r="J34" s="4" t="str">
        <f t="shared" si="5"/>
        <v/>
      </c>
      <c r="K34" s="4" t="str">
        <f t="shared" si="6"/>
        <v/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</sheetData>
  <mergeCells count="2">
    <mergeCell ref="A1:B2"/>
    <mergeCell ref="C1:D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2">
        <f t="array" ref="C1">IFERROR(INDEX(K5:K1001, MATCH(9.99E+307, K5:K1001)) + SUM(I5:I1001), SUM(C5, I5:I1001))</f>
        <v>500</v>
      </c>
      <c r="E1" s="3"/>
      <c r="F1" s="1"/>
      <c r="G1" s="3"/>
      <c r="H1" s="3"/>
      <c r="I1" s="3"/>
      <c r="J1" s="3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E2" s="3"/>
      <c r="F2" s="1"/>
      <c r="G2" s="3"/>
      <c r="H2" s="3"/>
      <c r="I2" s="3"/>
      <c r="J2" s="3"/>
      <c r="K2" s="3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/>
      <c r="B3" s="3"/>
      <c r="C3" s="3"/>
      <c r="D3" s="3"/>
      <c r="E3" s="3"/>
      <c r="F3" s="1"/>
      <c r="G3" s="3"/>
      <c r="H3" s="3"/>
      <c r="I3" s="3"/>
      <c r="J3" s="3"/>
      <c r="K3" s="3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1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>
        <f>DATE(2026, 5, 4)</f>
        <v>46146</v>
      </c>
      <c r="B5" s="4">
        <f t="array" ref="B5:B34">SEQUENCE(30,1,1,1)</f>
        <v>1</v>
      </c>
      <c r="C5" s="3">
        <v>500.0</v>
      </c>
      <c r="D5" s="3">
        <f>IF(OR(C5="", C5=0), "", ROUND(C5 * 0.2, 2))</f>
        <v>100</v>
      </c>
      <c r="E5" s="3">
        <v>2.23</v>
      </c>
      <c r="F5" s="1"/>
      <c r="G5" s="4" t="str">
        <f t="shared" ref="G5:G34" si="1">IF(F5="", "", ROUND(IF(F5="W", D5*E5, 0), 2))</f>
        <v/>
      </c>
      <c r="H5" s="4" t="str">
        <f t="shared" ref="H5:H34" si="2">IF(F5="", "", ROUND(IF(F5="W", G5-D5, -D5), 2))</f>
        <v/>
      </c>
      <c r="I5" s="4" t="str">
        <f t="shared" ref="I5:I34" si="3">IF(VALUE(N(H5)) &lt;= 0, "", ROUND(H5 * 0.25, 2))
</f>
        <v/>
      </c>
      <c r="J5" s="4" t="str">
        <f t="shared" ref="J5:J34" si="4">IF(H5="", "", ROUND(IF(H5&gt;0, H5*0.75, H5), 2))</f>
        <v/>
      </c>
      <c r="K5" s="4" t="str">
        <f t="shared" ref="K5:K34" si="5">IF(H5="", "", ROUND(C5 + J5, 2))</f>
        <v/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>
        <f t="shared" ref="A6:A34" si="6">A5+1</f>
        <v>46147</v>
      </c>
      <c r="B6" s="4">
        <v>2.0</v>
      </c>
      <c r="C6" s="4" t="str">
        <f t="shared" ref="C6:C34" si="7">K5</f>
        <v/>
      </c>
      <c r="D6" s="4" t="str">
        <f t="shared" ref="D6:D34" si="8">IF(OR(C6="", C6=0), "", ROUND(C6 * 0.2, 2))</f>
        <v/>
      </c>
      <c r="E6" s="3"/>
      <c r="F6" s="1"/>
      <c r="G6" s="4" t="str">
        <f t="shared" si="1"/>
        <v/>
      </c>
      <c r="H6" s="4" t="str">
        <f t="shared" si="2"/>
        <v/>
      </c>
      <c r="I6" s="4" t="str">
        <f t="shared" si="3"/>
        <v/>
      </c>
      <c r="J6" s="4" t="str">
        <f t="shared" si="4"/>
        <v/>
      </c>
      <c r="K6" s="4" t="str">
        <f t="shared" si="5"/>
        <v/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6">
        <f t="shared" si="6"/>
        <v>46148</v>
      </c>
      <c r="B7" s="4">
        <v>3.0</v>
      </c>
      <c r="C7" s="4" t="str">
        <f t="shared" si="7"/>
        <v/>
      </c>
      <c r="D7" s="4" t="str">
        <f t="shared" si="8"/>
        <v/>
      </c>
      <c r="E7" s="3"/>
      <c r="F7" s="1"/>
      <c r="G7" s="4" t="str">
        <f t="shared" si="1"/>
        <v/>
      </c>
      <c r="H7" s="4" t="str">
        <f t="shared" si="2"/>
        <v/>
      </c>
      <c r="I7" s="4" t="str">
        <f t="shared" si="3"/>
        <v/>
      </c>
      <c r="J7" s="4" t="str">
        <f t="shared" si="4"/>
        <v/>
      </c>
      <c r="K7" s="4" t="str">
        <f t="shared" si="5"/>
        <v/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6">
        <f t="shared" si="6"/>
        <v>46149</v>
      </c>
      <c r="B8" s="4">
        <v>4.0</v>
      </c>
      <c r="C8" s="4" t="str">
        <f t="shared" si="7"/>
        <v/>
      </c>
      <c r="D8" s="4" t="str">
        <f t="shared" si="8"/>
        <v/>
      </c>
      <c r="E8" s="3"/>
      <c r="F8" s="1"/>
      <c r="G8" s="4" t="str">
        <f t="shared" si="1"/>
        <v/>
      </c>
      <c r="H8" s="4" t="str">
        <f t="shared" si="2"/>
        <v/>
      </c>
      <c r="I8" s="4" t="str">
        <f t="shared" si="3"/>
        <v/>
      </c>
      <c r="J8" s="4" t="str">
        <f t="shared" si="4"/>
        <v/>
      </c>
      <c r="K8" s="4" t="str">
        <f t="shared" si="5"/>
        <v/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6">
        <f t="shared" si="6"/>
        <v>46150</v>
      </c>
      <c r="B9" s="4">
        <v>5.0</v>
      </c>
      <c r="C9" s="4" t="str">
        <f t="shared" si="7"/>
        <v/>
      </c>
      <c r="D9" s="4" t="str">
        <f t="shared" si="8"/>
        <v/>
      </c>
      <c r="E9" s="3"/>
      <c r="F9" s="1"/>
      <c r="G9" s="4" t="str">
        <f t="shared" si="1"/>
        <v/>
      </c>
      <c r="H9" s="4" t="str">
        <f t="shared" si="2"/>
        <v/>
      </c>
      <c r="I9" s="4" t="str">
        <f t="shared" si="3"/>
        <v/>
      </c>
      <c r="J9" s="4" t="str">
        <f t="shared" si="4"/>
        <v/>
      </c>
      <c r="K9" s="4" t="str">
        <f t="shared" si="5"/>
        <v/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6">
        <f t="shared" si="6"/>
        <v>46151</v>
      </c>
      <c r="B10" s="4">
        <v>6.0</v>
      </c>
      <c r="C10" s="4" t="str">
        <f t="shared" si="7"/>
        <v/>
      </c>
      <c r="D10" s="4" t="str">
        <f t="shared" si="8"/>
        <v/>
      </c>
      <c r="E10" s="3"/>
      <c r="F10" s="1"/>
      <c r="G10" s="4" t="str">
        <f t="shared" si="1"/>
        <v/>
      </c>
      <c r="H10" s="4" t="str">
        <f t="shared" si="2"/>
        <v/>
      </c>
      <c r="I10" s="4" t="str">
        <f t="shared" si="3"/>
        <v/>
      </c>
      <c r="J10" s="4" t="str">
        <f t="shared" si="4"/>
        <v/>
      </c>
      <c r="K10" s="4" t="str">
        <f t="shared" si="5"/>
        <v/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6">
        <f t="shared" si="6"/>
        <v>46152</v>
      </c>
      <c r="B11" s="4">
        <v>7.0</v>
      </c>
      <c r="C11" s="4" t="str">
        <f t="shared" si="7"/>
        <v/>
      </c>
      <c r="D11" s="4" t="str">
        <f t="shared" si="8"/>
        <v/>
      </c>
      <c r="E11" s="3"/>
      <c r="F11" s="1"/>
      <c r="G11" s="4" t="str">
        <f t="shared" si="1"/>
        <v/>
      </c>
      <c r="H11" s="4" t="str">
        <f t="shared" si="2"/>
        <v/>
      </c>
      <c r="I11" s="4" t="str">
        <f t="shared" si="3"/>
        <v/>
      </c>
      <c r="J11" s="4" t="str">
        <f t="shared" si="4"/>
        <v/>
      </c>
      <c r="K11" s="4" t="str">
        <f t="shared" si="5"/>
        <v/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6">
        <f t="shared" si="6"/>
        <v>46153</v>
      </c>
      <c r="B12" s="4">
        <v>8.0</v>
      </c>
      <c r="C12" s="4" t="str">
        <f t="shared" si="7"/>
        <v/>
      </c>
      <c r="D12" s="4" t="str">
        <f t="shared" si="8"/>
        <v/>
      </c>
      <c r="E12" s="4"/>
      <c r="F12" s="7"/>
      <c r="G12" s="4" t="str">
        <f t="shared" si="1"/>
        <v/>
      </c>
      <c r="H12" s="4" t="str">
        <f t="shared" si="2"/>
        <v/>
      </c>
      <c r="I12" s="4" t="str">
        <f t="shared" si="3"/>
        <v/>
      </c>
      <c r="J12" s="4" t="str">
        <f t="shared" si="4"/>
        <v/>
      </c>
      <c r="K12" s="4" t="str">
        <f t="shared" si="5"/>
        <v/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6">
        <f t="shared" si="6"/>
        <v>46154</v>
      </c>
      <c r="B13" s="4">
        <v>9.0</v>
      </c>
      <c r="C13" s="4" t="str">
        <f t="shared" si="7"/>
        <v/>
      </c>
      <c r="D13" s="4" t="str">
        <f t="shared" si="8"/>
        <v/>
      </c>
      <c r="E13" s="4"/>
      <c r="F13" s="7"/>
      <c r="G13" s="4" t="str">
        <f t="shared" si="1"/>
        <v/>
      </c>
      <c r="H13" s="4" t="str">
        <f t="shared" si="2"/>
        <v/>
      </c>
      <c r="I13" s="4" t="str">
        <f t="shared" si="3"/>
        <v/>
      </c>
      <c r="J13" s="4" t="str">
        <f t="shared" si="4"/>
        <v/>
      </c>
      <c r="K13" s="4" t="str">
        <f t="shared" si="5"/>
        <v/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6">
        <f t="shared" si="6"/>
        <v>46155</v>
      </c>
      <c r="B14" s="4">
        <v>10.0</v>
      </c>
      <c r="C14" s="4" t="str">
        <f t="shared" si="7"/>
        <v/>
      </c>
      <c r="D14" s="4" t="str">
        <f t="shared" si="8"/>
        <v/>
      </c>
      <c r="E14" s="4"/>
      <c r="F14" s="7"/>
      <c r="G14" s="4" t="str">
        <f t="shared" si="1"/>
        <v/>
      </c>
      <c r="H14" s="4" t="str">
        <f t="shared" si="2"/>
        <v/>
      </c>
      <c r="I14" s="4" t="str">
        <f t="shared" si="3"/>
        <v/>
      </c>
      <c r="J14" s="4" t="str">
        <f t="shared" si="4"/>
        <v/>
      </c>
      <c r="K14" s="4" t="str">
        <f t="shared" si="5"/>
        <v/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6">
        <f t="shared" si="6"/>
        <v>46156</v>
      </c>
      <c r="B15" s="4">
        <v>11.0</v>
      </c>
      <c r="C15" s="4" t="str">
        <f t="shared" si="7"/>
        <v/>
      </c>
      <c r="D15" s="4" t="str">
        <f t="shared" si="8"/>
        <v/>
      </c>
      <c r="E15" s="4"/>
      <c r="F15" s="7"/>
      <c r="G15" s="4" t="str">
        <f t="shared" si="1"/>
        <v/>
      </c>
      <c r="H15" s="4" t="str">
        <f t="shared" si="2"/>
        <v/>
      </c>
      <c r="I15" s="4" t="str">
        <f t="shared" si="3"/>
        <v/>
      </c>
      <c r="J15" s="4" t="str">
        <f t="shared" si="4"/>
        <v/>
      </c>
      <c r="K15" s="4" t="str">
        <f t="shared" si="5"/>
        <v/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6">
        <f t="shared" si="6"/>
        <v>46157</v>
      </c>
      <c r="B16" s="4">
        <v>12.0</v>
      </c>
      <c r="C16" s="4" t="str">
        <f t="shared" si="7"/>
        <v/>
      </c>
      <c r="D16" s="4" t="str">
        <f t="shared" si="8"/>
        <v/>
      </c>
      <c r="E16" s="4"/>
      <c r="F16" s="7"/>
      <c r="G16" s="4" t="str">
        <f t="shared" si="1"/>
        <v/>
      </c>
      <c r="H16" s="4" t="str">
        <f t="shared" si="2"/>
        <v/>
      </c>
      <c r="I16" s="4" t="str">
        <f t="shared" si="3"/>
        <v/>
      </c>
      <c r="J16" s="4" t="str">
        <f t="shared" si="4"/>
        <v/>
      </c>
      <c r="K16" s="4" t="str">
        <f t="shared" si="5"/>
        <v/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6">
        <f t="shared" si="6"/>
        <v>46158</v>
      </c>
      <c r="B17" s="4">
        <v>13.0</v>
      </c>
      <c r="C17" s="4" t="str">
        <f t="shared" si="7"/>
        <v/>
      </c>
      <c r="D17" s="4" t="str">
        <f t="shared" si="8"/>
        <v/>
      </c>
      <c r="E17" s="4"/>
      <c r="F17" s="7"/>
      <c r="G17" s="4" t="str">
        <f t="shared" si="1"/>
        <v/>
      </c>
      <c r="H17" s="4" t="str">
        <f t="shared" si="2"/>
        <v/>
      </c>
      <c r="I17" s="4" t="str">
        <f t="shared" si="3"/>
        <v/>
      </c>
      <c r="J17" s="4" t="str">
        <f t="shared" si="4"/>
        <v/>
      </c>
      <c r="K17" s="4" t="str">
        <f t="shared" si="5"/>
        <v/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6">
        <f t="shared" si="6"/>
        <v>46159</v>
      </c>
      <c r="B18" s="4">
        <v>14.0</v>
      </c>
      <c r="C18" s="4" t="str">
        <f t="shared" si="7"/>
        <v/>
      </c>
      <c r="D18" s="4" t="str">
        <f t="shared" si="8"/>
        <v/>
      </c>
      <c r="E18" s="4"/>
      <c r="F18" s="7"/>
      <c r="G18" s="4" t="str">
        <f t="shared" si="1"/>
        <v/>
      </c>
      <c r="H18" s="4" t="str">
        <f t="shared" si="2"/>
        <v/>
      </c>
      <c r="I18" s="4" t="str">
        <f t="shared" si="3"/>
        <v/>
      </c>
      <c r="J18" s="4" t="str">
        <f t="shared" si="4"/>
        <v/>
      </c>
      <c r="K18" s="4" t="str">
        <f t="shared" si="5"/>
        <v/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6">
        <f t="shared" si="6"/>
        <v>46160</v>
      </c>
      <c r="B19" s="4">
        <v>15.0</v>
      </c>
      <c r="C19" s="4" t="str">
        <f t="shared" si="7"/>
        <v/>
      </c>
      <c r="D19" s="4" t="str">
        <f t="shared" si="8"/>
        <v/>
      </c>
      <c r="E19" s="4"/>
      <c r="F19" s="7"/>
      <c r="G19" s="4" t="str">
        <f t="shared" si="1"/>
        <v/>
      </c>
      <c r="H19" s="4" t="str">
        <f t="shared" si="2"/>
        <v/>
      </c>
      <c r="I19" s="4" t="str">
        <f t="shared" si="3"/>
        <v/>
      </c>
      <c r="J19" s="4" t="str">
        <f t="shared" si="4"/>
        <v/>
      </c>
      <c r="K19" s="4" t="str">
        <f t="shared" si="5"/>
        <v/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6">
        <f t="shared" si="6"/>
        <v>46161</v>
      </c>
      <c r="B20" s="4">
        <v>16.0</v>
      </c>
      <c r="C20" s="4" t="str">
        <f t="shared" si="7"/>
        <v/>
      </c>
      <c r="D20" s="4" t="str">
        <f t="shared" si="8"/>
        <v/>
      </c>
      <c r="E20" s="4"/>
      <c r="F20" s="7"/>
      <c r="G20" s="4" t="str">
        <f t="shared" si="1"/>
        <v/>
      </c>
      <c r="H20" s="4" t="str">
        <f t="shared" si="2"/>
        <v/>
      </c>
      <c r="I20" s="4" t="str">
        <f t="shared" si="3"/>
        <v/>
      </c>
      <c r="J20" s="4" t="str">
        <f t="shared" si="4"/>
        <v/>
      </c>
      <c r="K20" s="4" t="str">
        <f t="shared" si="5"/>
        <v/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6">
        <f t="shared" si="6"/>
        <v>46162</v>
      </c>
      <c r="B21" s="4">
        <v>17.0</v>
      </c>
      <c r="C21" s="4" t="str">
        <f t="shared" si="7"/>
        <v/>
      </c>
      <c r="D21" s="4" t="str">
        <f t="shared" si="8"/>
        <v/>
      </c>
      <c r="E21" s="4"/>
      <c r="F21" s="7"/>
      <c r="G21" s="4" t="str">
        <f t="shared" si="1"/>
        <v/>
      </c>
      <c r="H21" s="4" t="str">
        <f t="shared" si="2"/>
        <v/>
      </c>
      <c r="I21" s="4" t="str">
        <f t="shared" si="3"/>
        <v/>
      </c>
      <c r="J21" s="4" t="str">
        <f t="shared" si="4"/>
        <v/>
      </c>
      <c r="K21" s="4" t="str">
        <f t="shared" si="5"/>
        <v/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6">
        <f t="shared" si="6"/>
        <v>46163</v>
      </c>
      <c r="B22" s="4">
        <v>18.0</v>
      </c>
      <c r="C22" s="4" t="str">
        <f t="shared" si="7"/>
        <v/>
      </c>
      <c r="D22" s="4" t="str">
        <f t="shared" si="8"/>
        <v/>
      </c>
      <c r="E22" s="4"/>
      <c r="F22" s="7"/>
      <c r="G22" s="4" t="str">
        <f t="shared" si="1"/>
        <v/>
      </c>
      <c r="H22" s="4" t="str">
        <f t="shared" si="2"/>
        <v/>
      </c>
      <c r="I22" s="4" t="str">
        <f t="shared" si="3"/>
        <v/>
      </c>
      <c r="J22" s="4" t="str">
        <f t="shared" si="4"/>
        <v/>
      </c>
      <c r="K22" s="4" t="str">
        <f t="shared" si="5"/>
        <v/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6">
        <f t="shared" si="6"/>
        <v>46164</v>
      </c>
      <c r="B23" s="4">
        <v>19.0</v>
      </c>
      <c r="C23" s="4" t="str">
        <f t="shared" si="7"/>
        <v/>
      </c>
      <c r="D23" s="4" t="str">
        <f t="shared" si="8"/>
        <v/>
      </c>
      <c r="E23" s="4"/>
      <c r="F23" s="7"/>
      <c r="G23" s="4" t="str">
        <f t="shared" si="1"/>
        <v/>
      </c>
      <c r="H23" s="4" t="str">
        <f t="shared" si="2"/>
        <v/>
      </c>
      <c r="I23" s="4" t="str">
        <f t="shared" si="3"/>
        <v/>
      </c>
      <c r="J23" s="4" t="str">
        <f t="shared" si="4"/>
        <v/>
      </c>
      <c r="K23" s="4" t="str">
        <f t="shared" si="5"/>
        <v/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6">
        <f t="shared" si="6"/>
        <v>46165</v>
      </c>
      <c r="B24" s="4">
        <v>20.0</v>
      </c>
      <c r="C24" s="4" t="str">
        <f t="shared" si="7"/>
        <v/>
      </c>
      <c r="D24" s="4" t="str">
        <f t="shared" si="8"/>
        <v/>
      </c>
      <c r="E24" s="4"/>
      <c r="F24" s="7"/>
      <c r="G24" s="4" t="str">
        <f t="shared" si="1"/>
        <v/>
      </c>
      <c r="H24" s="4" t="str">
        <f t="shared" si="2"/>
        <v/>
      </c>
      <c r="I24" s="4" t="str">
        <f t="shared" si="3"/>
        <v/>
      </c>
      <c r="J24" s="4" t="str">
        <f t="shared" si="4"/>
        <v/>
      </c>
      <c r="K24" s="4" t="str">
        <f t="shared" si="5"/>
        <v/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6">
        <f t="shared" si="6"/>
        <v>46166</v>
      </c>
      <c r="B25" s="4">
        <v>21.0</v>
      </c>
      <c r="C25" s="4" t="str">
        <f t="shared" si="7"/>
        <v/>
      </c>
      <c r="D25" s="4" t="str">
        <f t="shared" si="8"/>
        <v/>
      </c>
      <c r="E25" s="4"/>
      <c r="F25" s="7"/>
      <c r="G25" s="4" t="str">
        <f t="shared" si="1"/>
        <v/>
      </c>
      <c r="H25" s="4" t="str">
        <f t="shared" si="2"/>
        <v/>
      </c>
      <c r="I25" s="4" t="str">
        <f t="shared" si="3"/>
        <v/>
      </c>
      <c r="J25" s="4" t="str">
        <f t="shared" si="4"/>
        <v/>
      </c>
      <c r="K25" s="4" t="str">
        <f t="shared" si="5"/>
        <v/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6">
        <f t="shared" si="6"/>
        <v>46167</v>
      </c>
      <c r="B26" s="4">
        <v>22.0</v>
      </c>
      <c r="C26" s="4" t="str">
        <f t="shared" si="7"/>
        <v/>
      </c>
      <c r="D26" s="4" t="str">
        <f t="shared" si="8"/>
        <v/>
      </c>
      <c r="E26" s="4"/>
      <c r="F26" s="7"/>
      <c r="G26" s="4" t="str">
        <f t="shared" si="1"/>
        <v/>
      </c>
      <c r="H26" s="4" t="str">
        <f t="shared" si="2"/>
        <v/>
      </c>
      <c r="I26" s="4" t="str">
        <f t="shared" si="3"/>
        <v/>
      </c>
      <c r="J26" s="4" t="str">
        <f t="shared" si="4"/>
        <v/>
      </c>
      <c r="K26" s="4" t="str">
        <f t="shared" si="5"/>
        <v/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6">
        <f t="shared" si="6"/>
        <v>46168</v>
      </c>
      <c r="B27" s="4">
        <v>23.0</v>
      </c>
      <c r="C27" s="4" t="str">
        <f t="shared" si="7"/>
        <v/>
      </c>
      <c r="D27" s="4" t="str">
        <f t="shared" si="8"/>
        <v/>
      </c>
      <c r="E27" s="4"/>
      <c r="F27" s="7"/>
      <c r="G27" s="4" t="str">
        <f t="shared" si="1"/>
        <v/>
      </c>
      <c r="H27" s="4" t="str">
        <f t="shared" si="2"/>
        <v/>
      </c>
      <c r="I27" s="4" t="str">
        <f t="shared" si="3"/>
        <v/>
      </c>
      <c r="J27" s="4" t="str">
        <f t="shared" si="4"/>
        <v/>
      </c>
      <c r="K27" s="4" t="str">
        <f t="shared" si="5"/>
        <v/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6">
        <f t="shared" si="6"/>
        <v>46169</v>
      </c>
      <c r="B28" s="4">
        <v>24.0</v>
      </c>
      <c r="C28" s="4" t="str">
        <f t="shared" si="7"/>
        <v/>
      </c>
      <c r="D28" s="4" t="str">
        <f t="shared" si="8"/>
        <v/>
      </c>
      <c r="E28" s="4"/>
      <c r="F28" s="7"/>
      <c r="G28" s="4" t="str">
        <f t="shared" si="1"/>
        <v/>
      </c>
      <c r="H28" s="4" t="str">
        <f t="shared" si="2"/>
        <v/>
      </c>
      <c r="I28" s="4" t="str">
        <f t="shared" si="3"/>
        <v/>
      </c>
      <c r="J28" s="4" t="str">
        <f t="shared" si="4"/>
        <v/>
      </c>
      <c r="K28" s="4" t="str">
        <f t="shared" si="5"/>
        <v/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6">
        <f t="shared" si="6"/>
        <v>46170</v>
      </c>
      <c r="B29" s="4">
        <v>25.0</v>
      </c>
      <c r="C29" s="4" t="str">
        <f t="shared" si="7"/>
        <v/>
      </c>
      <c r="D29" s="4" t="str">
        <f t="shared" si="8"/>
        <v/>
      </c>
      <c r="E29" s="4"/>
      <c r="F29" s="7"/>
      <c r="G29" s="4" t="str">
        <f t="shared" si="1"/>
        <v/>
      </c>
      <c r="H29" s="4" t="str">
        <f t="shared" si="2"/>
        <v/>
      </c>
      <c r="I29" s="4" t="str">
        <f t="shared" si="3"/>
        <v/>
      </c>
      <c r="J29" s="4" t="str">
        <f t="shared" si="4"/>
        <v/>
      </c>
      <c r="K29" s="4" t="str">
        <f t="shared" si="5"/>
        <v/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6">
        <f t="shared" si="6"/>
        <v>46171</v>
      </c>
      <c r="B30" s="4">
        <v>26.0</v>
      </c>
      <c r="C30" s="4" t="str">
        <f t="shared" si="7"/>
        <v/>
      </c>
      <c r="D30" s="4" t="str">
        <f t="shared" si="8"/>
        <v/>
      </c>
      <c r="E30" s="4"/>
      <c r="F30" s="7"/>
      <c r="G30" s="4" t="str">
        <f t="shared" si="1"/>
        <v/>
      </c>
      <c r="H30" s="4" t="str">
        <f t="shared" si="2"/>
        <v/>
      </c>
      <c r="I30" s="4" t="str">
        <f t="shared" si="3"/>
        <v/>
      </c>
      <c r="J30" s="4" t="str">
        <f t="shared" si="4"/>
        <v/>
      </c>
      <c r="K30" s="4" t="str">
        <f t="shared" si="5"/>
        <v/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6">
        <f t="shared" si="6"/>
        <v>46172</v>
      </c>
      <c r="B31" s="4">
        <v>27.0</v>
      </c>
      <c r="C31" s="4" t="str">
        <f t="shared" si="7"/>
        <v/>
      </c>
      <c r="D31" s="4" t="str">
        <f t="shared" si="8"/>
        <v/>
      </c>
      <c r="E31" s="4"/>
      <c r="F31" s="7"/>
      <c r="G31" s="4" t="str">
        <f t="shared" si="1"/>
        <v/>
      </c>
      <c r="H31" s="4" t="str">
        <f t="shared" si="2"/>
        <v/>
      </c>
      <c r="I31" s="4" t="str">
        <f t="shared" si="3"/>
        <v/>
      </c>
      <c r="J31" s="4" t="str">
        <f t="shared" si="4"/>
        <v/>
      </c>
      <c r="K31" s="4" t="str">
        <f t="shared" si="5"/>
        <v/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6">
        <f t="shared" si="6"/>
        <v>46173</v>
      </c>
      <c r="B32" s="4">
        <v>28.0</v>
      </c>
      <c r="C32" s="4" t="str">
        <f t="shared" si="7"/>
        <v/>
      </c>
      <c r="D32" s="4" t="str">
        <f t="shared" si="8"/>
        <v/>
      </c>
      <c r="E32" s="4"/>
      <c r="F32" s="7"/>
      <c r="G32" s="4" t="str">
        <f t="shared" si="1"/>
        <v/>
      </c>
      <c r="H32" s="4" t="str">
        <f t="shared" si="2"/>
        <v/>
      </c>
      <c r="I32" s="4" t="str">
        <f t="shared" si="3"/>
        <v/>
      </c>
      <c r="J32" s="4" t="str">
        <f t="shared" si="4"/>
        <v/>
      </c>
      <c r="K32" s="4" t="str">
        <f t="shared" si="5"/>
        <v/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6">
        <f t="shared" si="6"/>
        <v>46174</v>
      </c>
      <c r="B33" s="4">
        <v>29.0</v>
      </c>
      <c r="C33" s="4" t="str">
        <f t="shared" si="7"/>
        <v/>
      </c>
      <c r="D33" s="4" t="str">
        <f t="shared" si="8"/>
        <v/>
      </c>
      <c r="E33" s="4"/>
      <c r="F33" s="7"/>
      <c r="G33" s="4" t="str">
        <f t="shared" si="1"/>
        <v/>
      </c>
      <c r="H33" s="4" t="str">
        <f t="shared" si="2"/>
        <v/>
      </c>
      <c r="I33" s="4" t="str">
        <f t="shared" si="3"/>
        <v/>
      </c>
      <c r="J33" s="4" t="str">
        <f t="shared" si="4"/>
        <v/>
      </c>
      <c r="K33" s="4" t="str">
        <f t="shared" si="5"/>
        <v/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6">
        <f t="shared" si="6"/>
        <v>46175</v>
      </c>
      <c r="B34" s="4">
        <v>30.0</v>
      </c>
      <c r="C34" s="4" t="str">
        <f t="shared" si="7"/>
        <v/>
      </c>
      <c r="D34" s="4" t="str">
        <f t="shared" si="8"/>
        <v/>
      </c>
      <c r="E34" s="4"/>
      <c r="F34" s="7"/>
      <c r="G34" s="4" t="str">
        <f t="shared" si="1"/>
        <v/>
      </c>
      <c r="H34" s="4" t="str">
        <f t="shared" si="2"/>
        <v/>
      </c>
      <c r="I34" s="4" t="str">
        <f t="shared" si="3"/>
        <v/>
      </c>
      <c r="J34" s="4" t="str">
        <f t="shared" si="4"/>
        <v/>
      </c>
      <c r="K34" s="4" t="str">
        <f t="shared" si="5"/>
        <v/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7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7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7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7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7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7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7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7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7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7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7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7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7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7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7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7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7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7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7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7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7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7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7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7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7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7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7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7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7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7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7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7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7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7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7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7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7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7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7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7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7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7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7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7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7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7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7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7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7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7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7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7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7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7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7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7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7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7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7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7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7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7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7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7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7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7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7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7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7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7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7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7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7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7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7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7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7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7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7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7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7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7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7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7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7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7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7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7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7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7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7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7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7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7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7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7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7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7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7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7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7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7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7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7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7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7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7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7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7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7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7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7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7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7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7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7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7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7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7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7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7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7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7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7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7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7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7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7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7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7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7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7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7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7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7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7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7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7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7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7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7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7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7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7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7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7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7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7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7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7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7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7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7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7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7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7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7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7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7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7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7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7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7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7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7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7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7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7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7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7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7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7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7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7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7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7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7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7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7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7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7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7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7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7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7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7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7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7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7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7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7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7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7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7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7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7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7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7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7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7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7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7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7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7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7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7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7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7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7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7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7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7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7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7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7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7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7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7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7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7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7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7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7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7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7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7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7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7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7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7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7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7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7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7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7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7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7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7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7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7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7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7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7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7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7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7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7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7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7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7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7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7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7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7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7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7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7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7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7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7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7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7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7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7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7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7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7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7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7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7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7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7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7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7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7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7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7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7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7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7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7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7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7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7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7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7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7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7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7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7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7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7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7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7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7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7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7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7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7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7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7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7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7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7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7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7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7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7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7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7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7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7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7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7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7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7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7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7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7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7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7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7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7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7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7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7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7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7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7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7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7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7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7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7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7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7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7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7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7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7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7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7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7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7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7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7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7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7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7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7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7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7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7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7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7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7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7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7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7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7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7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7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7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7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7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7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7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7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7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7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7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7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7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7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7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7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7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7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7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7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7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7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7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7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7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7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7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7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7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7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7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7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7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7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7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7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7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7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7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7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7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7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7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7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7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7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7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7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7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7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7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7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7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7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7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7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7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7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7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7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7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7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7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7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7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7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7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7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7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7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7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7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7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7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7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7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7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7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7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7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7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7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7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7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7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7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7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7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7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7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7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7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7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7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7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7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7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7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7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7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7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7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7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7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7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7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7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7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7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7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7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7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7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7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7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7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7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7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7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7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7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7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7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7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7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7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7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7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7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7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7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7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7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7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7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7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7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7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7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7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7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7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7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7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7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7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7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7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7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7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7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7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7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7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7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7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7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7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7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7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7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7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7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7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7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7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7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7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7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7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7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7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7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7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7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7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7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7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7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7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7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7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7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7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7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7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7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7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7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7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7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7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7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7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7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7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7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7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7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7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7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7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7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7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7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7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7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7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7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7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7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7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7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7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7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7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7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7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7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7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7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7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7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7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7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7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7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7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7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7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7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7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7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7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7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7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7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7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7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7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7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7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7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7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7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7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7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7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7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7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7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7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7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7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7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7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7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7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7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7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7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7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7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7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7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7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7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7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7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7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7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7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7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7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7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7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7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7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7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7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7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7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7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7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7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7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7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7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7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7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7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7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7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7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7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7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7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7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7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7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7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7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7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7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7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7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7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7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7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7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7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7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7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7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7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7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7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7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7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7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7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7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7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7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7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7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7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7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7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7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7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7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7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7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7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7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7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7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7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7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7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7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7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7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7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7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7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7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7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7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7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7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7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7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7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7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7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7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7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7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7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7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7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7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7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7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7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7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7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7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7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7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7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7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7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7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7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7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7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7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7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7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7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7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7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7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7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7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7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7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7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7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7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7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7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7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7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7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7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7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7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7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7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7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7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7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7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7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7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7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7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7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7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7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7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7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7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7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7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7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7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7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7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7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7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7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7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7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7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7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7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7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7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7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7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7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7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7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7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7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7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7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7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7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7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7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7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7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7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7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7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7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7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7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7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7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7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7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7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7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7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7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7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7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7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7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7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7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7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7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7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7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7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7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7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7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7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7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7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7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7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7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7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7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7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7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7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7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7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7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7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7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7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7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7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7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7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7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7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7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7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7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7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7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7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7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7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7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7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7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7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7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7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7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7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7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7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7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7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7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7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7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7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7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7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7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7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7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7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7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7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7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7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7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7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7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7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7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7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7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7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7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7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7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7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7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7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7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7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7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7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7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7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7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7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7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7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7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7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7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7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7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7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7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7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7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7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7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7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7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7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7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7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7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7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7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7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7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7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7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7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7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7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7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7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7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7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7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7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7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7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7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7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7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7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7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7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7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7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7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7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7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7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7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7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7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7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7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7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</sheetData>
  <mergeCells count="2">
    <mergeCell ref="A1:B2"/>
    <mergeCell ref="C1:D2"/>
  </mergeCells>
  <drawing r:id="rId1"/>
</worksheet>
</file>